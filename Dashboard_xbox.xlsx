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\Documents\Eu\ESTUDO\EXCEL\Dashboards\"/>
    </mc:Choice>
  </mc:AlternateContent>
  <xr:revisionPtr revIDLastSave="0" documentId="13_ncr:1_{CC9E4528-5A25-4416-ADCE-0A74F632DC7D}" xr6:coauthVersionLast="47" xr6:coauthVersionMax="47" xr10:uidLastSave="{00000000-0000-0000-0000-000000000000}"/>
  <bookViews>
    <workbookView xWindow="-120" yWindow="-120" windowWidth="29040" windowHeight="15720" tabRatio="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  <c r="E22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<sst xmlns="http://schemas.openxmlformats.org/spreadsheetml/2006/main" count="2021" uniqueCount="323">
  <si>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</si>
  <si>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</si>
  <si>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</si>
  <si>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</si>
  <si>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</si>
  <si>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</si>
  <si>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</si>
  <si>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</si>
  <si>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</si>
  <si>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</si>
  <si>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</si>
  <si>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</si>
  <si>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</si>
  <si>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</si>
  <si>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</si>
  <si>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</si>
  <si>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</si>
  <si>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</si>
  <si>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</si>
  <si>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</si>
  <si>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</si>
  <si>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</si>
  <si>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</si>
  <si>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</si>
  <si>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</si>
  <si>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</si>
  <si>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</si>
  <si>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</si>
  <si>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</si>
  <si>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</si>
  <si>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</si>
  <si>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</si>
  <si>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</si>
  <si>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</si>
  <si>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</si>
  <si>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</si>
  <si>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</si>
  <si>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</si>
  <si>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</si>
  <si>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</si>
  <si>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</si>
  <si>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</si>
  <si>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</si>
  <si>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</si>
  <si>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</si>
  <si>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</si>
  <si>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</si>
  <si>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</si>
  <si>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</si>
  <si>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</si>
  <si>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</si>
  <si>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</si>
  <si>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</si>
  <si>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</si>
  <si>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</si>
  <si>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</si>
  <si>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</si>
  <si>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</si>
  <si>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</si>
  <si>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</si>
  <si>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</si>
  <si>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</si>
  <si>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</si>
  <si>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</si>
  <si>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</si>
  <si>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</si>
  <si>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</si>
  <si>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</si>
  <si>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</si>
  <si>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</si>
  <si>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</si>
  <si>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</si>
  <si>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</si>
  <si>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</si>
  <si>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</si>
  <si>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</si>
  <si>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</si>
  <si>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</si>
  <si>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</si>
  <si>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</si>
  <si>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</si>
  <si>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</si>
  <si>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</si>
  <si>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</si>
  <si>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</si>
  <si>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</si>
  <si>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</si>
  <si>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</si>
  <si>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</si>
  <si>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</si>
  <si>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</si>
  <si>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</si>
  <si>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</si>
  <si>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</si>
  <si>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</si>
  <si>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</si>
  <si>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</si>
  <si>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</si>
  <si>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</si>
  <si>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</si>
  <si>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</si>
  <si>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</si>
  <si>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</si>
  <si>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</si>
  <si>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</si>
  <si>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</si>
  <si>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</si>
  <si>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</si>
  <si>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</si>
  <si>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</si>
  <si>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</si>
  <si>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</si>
  <si>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</si>
  <si>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</si>
  <si>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</si>
  <si>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</si>
  <si>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</si>
  <si>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</si>
  <si>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</si>
  <si>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</si>
  <si>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</si>
  <si>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</si>
  <si>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</si>
  <si>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</si>
  <si>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</si>
  <si>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</si>
  <si>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</si>
  <si>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</si>
  <si>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</si>
  <si>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</si>
  <si>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</si>
  <si>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</si>
  <si>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</si>
  <si>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</si>
  <si>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</si>
  <si>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</si>
  <si>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</si>
  <si>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</si>
  <si>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</si>
  <si>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</si>
  <si>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</si>
  <si>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</si>
  <si>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</si>
  <si>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</si>
  <si>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</si>
  <si>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</si>
  <si>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</si>
  <si>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</si>
  <si>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</si>
  <si>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</si>
  <si>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</si>
  <si>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</si>
  <si>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</si>
  <si>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</si>
  <si>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</si>
  <si>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</si>
  <si>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</si>
  <si>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</si>
  <si>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</si>
  <si>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</si>
  <si>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</si>
  <si>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</si>
  <si>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</si>
  <si>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</si>
  <si>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</si>
  <si>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</si>
  <si>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</si>
  <si>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</si>
  <si>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</si>
  <si>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</si>
  <si>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</si>
  <si>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</si>
  <si>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</si>
  <si>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</si>
  <si>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</si>
  <si>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</si>
  <si>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</si>
  <si>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</si>
  <si>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</si>
  <si>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</si>
  <si>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</si>
  <si>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</si>
  <si>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</si>
  <si>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</si>
  <si>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</si>
  <si>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</si>
  <si>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</si>
  <si>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</si>
  <si>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</si>
  <si>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</si>
  <si>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</si>
  <si>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</si>
  <si>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</si>
  <si>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</si>
  <si>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</si>
  <si>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</si>
  <si>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</si>
  <si>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</si>
  <si>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</si>
  <si>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</si>
  <si>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</si>
  <si>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</si>
  <si>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</si>
  <si>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</si>
  <si>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</si>
  <si>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</si>
  <si>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</si>
  <si>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</si>
  <si>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</si>
  <si>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</si>
  <si>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</si>
  <si>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</si>
  <si>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</si>
  <si>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</si>
  <si>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</si>
  <si>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</si>
  <si>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</si>
  <si>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</si>
  <si>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</si>
  <si>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</si>
  <si>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</si>
  <si>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</si>
  <si>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</si>
  <si>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</si>
  <si>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</si>
  <si>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</si>
  <si>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</si>
  <si>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</si>
  <si>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</si>
  <si>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</si>
  <si>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</si>
  <si>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</si>
  <si>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</si>
  <si>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</si>
  <si>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</si>
  <si>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</si>
  <si>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</si>
  <si>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</si>
  <si>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</si>
  <si>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</si>
  <si>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</si>
  <si>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</si>
  <si>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</si>
  <si>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</si>
  <si>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</si>
  <si>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</si>
  <si>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</si>
  <si>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</si>
  <si>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</si>
  <si>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</si>
  <si>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</si>
  <si>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</si>
  <si>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</si>
  <si>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</si>
  <si>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</si>
  <si>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</si>
  <si>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</si>
  <si>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</si>
  <si>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</si>
  <si>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</si>
  <si>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</si>
  <si>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</si>
  <si>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</si>
  <si>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</si>
  <si>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</si>
  <si>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</si>
  <si>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</si>
  <si>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</si>
  <si>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</si>
  <si>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</si>
  <si>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</si>
  <si>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</si>
  <si>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</si>
  <si>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</si>
  <si>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</si>
  <si>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</si>
  <si>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</si>
  <si>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</si>
  <si>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</si>
  <si>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</si>
  <si>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</si>
  <si>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</si>
  <si>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</si>
  <si>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</si>
  <si>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</si>
  <si>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</si>
  <si>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</si>
  <si>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</si>
  <si>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</si>
  <si>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</si>
  <si>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</si>
  <si>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</si>
  <si>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</si>
  <si>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</si>
  <si>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</si>
  <si>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</si>
  <si>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</si>
  <si>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</si>
  <si>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</si>
  <si>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</si>
  <si>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</si>
  <si>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</si>
  <si>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</si>
  <si>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</si>
  <si>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</si>
  <si>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</si>
  <si>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</si>
  <si>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</si>
  <si>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</si>
  <si>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</si>
  <si>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</si>
  <si>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</si>
  <si>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</si>
  <si>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1 - Qual o faturamento total de vendas de planos anuais (contendo todas as assinaturas agregadas)</t>
  </si>
  <si>
    <t>Rótulos de Linha</t>
  </si>
  <si>
    <t>Total Geral</t>
  </si>
  <si>
    <t>Soma de Total Value</t>
  </si>
  <si>
    <r>
      <t xml:space="preserve">Pergunta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 separado por auto renovoção por não renovação</t>
    </r>
  </si>
  <si>
    <t>XBOX GAME PASS SUBSCRIPTION SALE</t>
  </si>
  <si>
    <t>Pergunta 3 - Total de vendas de Assinaturas do EA Play</t>
  </si>
  <si>
    <t>Soma de EA Play Season Pass</t>
  </si>
  <si>
    <t>Pergunta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</si>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</sst>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3"/>
      <name val="Aptos Narrow"/>
      <family val="2"/>
      <scheme val="minor"/>
    </font>
    <font>
      <b/>
      <sz val="28"/>
      <color rgb="FF22C55E"/>
      <name val="Aptos Narrow"/>
      <family val="2"/>
      <scheme val="minor"/>
    </font>
    <font>
      <b/>
      <sz val="24"/>
      <color rgb="FF22C55E"/>
      <name val="Aptos Narrow"/>
      <family val="2"/>
      <scheme val="minor"/>
    </font>
    <font>
      <sz val="11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6" fillId="8" borderId="2" xfId="1" applyFont="1" applyFill="1" applyBorder="1"/>
    <xf numFmtId="0" fontId="5" fillId="8" borderId="2" xfId="1" applyFont="1" applyFill="1" applyBorder="1"/>
    <xf numFmtId="0" fontId="4" fillId="8" borderId="2" xfId="1" applyFont="1" applyFill="1" applyBorder="1"/>
    <xf numFmtId="165" fontId="0" fillId="0" borderId="0" xfId="0" applyNumberFormat="1"/>
    <xf numFmtId="0" fontId="0" fillId="0" borderId="0" xfId="0" applyNumberFormat="1"/>
    <xf numFmtId="0" fontId="4" fillId="8" borderId="0" xfId="1" applyFont="1" applyFill="1" applyBorder="1"/>
    <xf numFmtId="0" fontId="7" fillId="4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9">
    <dxf>
      <font>
        <b/>
        <i val="0"/>
        <sz val="14"/>
        <color theme="0"/>
      </font>
      <fill>
        <patternFill>
          <fgColor rgb="FF22C55E"/>
          <bgColor rgb="FF22C55E"/>
        </patternFill>
      </fill>
    </dxf>
    <dxf>
      <font>
        <b/>
        <i val="0"/>
        <sz val="12"/>
        <color theme="1"/>
      </font>
      <fill>
        <patternFill>
          <fgColor rgb="FF22C55E"/>
          <bgColor rgb="FF22C55E"/>
        </patternFill>
      </fill>
      <border diagonalUp="1" diagonalDown="0">
        <left/>
        <right/>
        <top/>
        <bottom/>
        <diagonal style="thin">
          <color auto="1"/>
        </diagon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diagonalDown="1">
        <left style="thin">
          <color rgb="FF5BF6A8"/>
        </left>
        <right style="thin">
          <color rgb="FF5BF6A8"/>
        </right>
        <top style="thin">
          <color rgb="FF5BF6A8"/>
        </top>
        <bottom style="thin">
          <color rgb="FF5BF6A8"/>
        </bottom>
        <diagonal style="thin">
          <color rgb="FF5BF6A8"/>
        </diagonal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Estilo de Segmentação de Dados 1" pivot="0" table="0" count="1" xr9:uid="{59710334-F2FF-4CD3-9609-04418DF479B0}">
      <tableStyleElement type="wholeTable" dxfId="18"/>
    </tableStyle>
    <tableStyle name="Estilo de Segmentação de Dados 2" pivot="0" table="0" count="1" xr9:uid="{24322320-A4A2-4166-BC56-C6B61B172720}">
      <tableStyleElement type="wholeTable" dxfId="17"/>
    </tableStyle>
    <tableStyle name="Estilo de Segmentação de Dados 3" pivot="0" table="0" count="1" xr9:uid="{06D8DFE9-BBED-4C99-AA53-C071E92D374E}">
      <tableStyleElement type="wholeTable" dxfId="16"/>
    </tableStyle>
    <tableStyle name="Estilo de Segmentação de Dados 4" pivot="0" table="0" count="10" xr9:uid="{1B561723-4A71-44C3-A0E7-7C990D0EA00E}">
      <tableStyleElement type="wholeTable" dxfId="1"/>
      <tableStyleElement type="headerRow" dxfId="0"/>
    </tableStyle>
  </tableStyles>
  <colors>
    <mruColors>
      <color rgb="FF97EDB6"/>
      <color rgb="FF22C55E"/>
      <color rgb="FF2AE6B1"/>
      <color rgb="FF5BF6A8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40"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97EDB6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22C55E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22C55E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22C55E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22C55E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  <x14:slicerStyle name="Estilo de Segmentação de Dados 4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solidFill>
              <a:srgbClr val="22C5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solidFill>
              <a:srgbClr val="22C55E"/>
            </a:solidFill>
          </a:ln>
          <a:effectLst/>
        </c:spPr>
      </c:pivotFmt>
      <c:pivotFmt>
        <c:idx val="8"/>
        <c:spPr>
          <a:solidFill>
            <a:srgbClr val="22C55E"/>
          </a:solidFill>
          <a:ln>
            <a:solidFill>
              <a:srgbClr val="22C55E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solidFill>
                <a:srgbClr val="22C55E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solidFill>
                  <a:srgbClr val="22C55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D3-43BD-93D9-EE9B5559AD33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solidFill>
                  <a:srgbClr val="22C55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D3-43BD-93D9-EE9B5559AD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D3-43BD-93D9-EE9B5559A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4614880"/>
        <c:axId val="1914615840"/>
      </c:barChart>
      <c:catAx>
        <c:axId val="191461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4615840"/>
        <c:crosses val="autoZero"/>
        <c:auto val="1"/>
        <c:lblAlgn val="ctr"/>
        <c:lblOffset val="100"/>
        <c:noMultiLvlLbl val="0"/>
      </c:catAx>
      <c:valAx>
        <c:axId val="191461584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1461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11906</xdr:colOff>
      <xdr:row>5</xdr:row>
      <xdr:rowOff>145256</xdr:rowOff>
    </xdr:from>
    <xdr:to>
      <xdr:col>0</xdr:col>
      <xdr:colOff>2857500</xdr:colOff>
      <xdr:row>14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90A8CA3-70E2-4860-BEA4-E4EB52C905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" y="1707356"/>
              <a:ext cx="2845594" cy="1654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242888</xdr:colOff>
      <xdr:row>12</xdr:row>
      <xdr:rowOff>66675</xdr:rowOff>
    </xdr:from>
    <xdr:to>
      <xdr:col>16</xdr:col>
      <xdr:colOff>61913</xdr:colOff>
      <xdr:row>29</xdr:row>
      <xdr:rowOff>38100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E6916657-ED2D-965C-23A8-A89F33240EC8}"/>
            </a:ext>
          </a:extLst>
        </xdr:cNvPr>
        <xdr:cNvGrpSpPr/>
      </xdr:nvGrpSpPr>
      <xdr:grpSpPr>
        <a:xfrm>
          <a:off x="3109913" y="2962275"/>
          <a:ext cx="8743950" cy="3209925"/>
          <a:chOff x="3438525" y="1838324"/>
          <a:chExt cx="6067425" cy="3200401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129FA30F-EA8D-CC69-DE4D-B73B53ADA610}"/>
              </a:ext>
            </a:extLst>
          </xdr:cNvPr>
          <xdr:cNvSpPr/>
        </xdr:nvSpPr>
        <xdr:spPr>
          <a:xfrm>
            <a:off x="3438525" y="1838324"/>
            <a:ext cx="6067425" cy="3200401"/>
          </a:xfrm>
          <a:prstGeom prst="roundRect">
            <a:avLst>
              <a:gd name="adj" fmla="val 833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A9872D0-BC39-49DA-A9A6-F576EAF04E71}"/>
              </a:ext>
            </a:extLst>
          </xdr:cNvPr>
          <xdr:cNvGraphicFramePr>
            <a:graphicFrameLocks/>
          </xdr:cNvGraphicFramePr>
        </xdr:nvGraphicFramePr>
        <xdr:xfrm>
          <a:off x="3577322" y="2161213"/>
          <a:ext cx="5690689" cy="27084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absolute">
    <xdr:from>
      <xdr:col>1</xdr:col>
      <xdr:colOff>247650</xdr:colOff>
      <xdr:row>3</xdr:row>
      <xdr:rowOff>142875</xdr:rowOff>
    </xdr:from>
    <xdr:to>
      <xdr:col>8</xdr:col>
      <xdr:colOff>276225</xdr:colOff>
      <xdr:row>11</xdr:row>
      <xdr:rowOff>85726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66143D7E-F217-F541-A7C6-3213FFC10FBF}"/>
            </a:ext>
          </a:extLst>
        </xdr:cNvPr>
        <xdr:cNvGrpSpPr/>
      </xdr:nvGrpSpPr>
      <xdr:grpSpPr>
        <a:xfrm>
          <a:off x="3114675" y="1323975"/>
          <a:ext cx="4248150" cy="1466851"/>
          <a:chOff x="3143250" y="1323975"/>
          <a:chExt cx="4248150" cy="1466851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C0865CE4-6B40-E08D-3227-AFF032B41319}"/>
              </a:ext>
            </a:extLst>
          </xdr:cNvPr>
          <xdr:cNvGrpSpPr/>
        </xdr:nvGrpSpPr>
        <xdr:grpSpPr>
          <a:xfrm>
            <a:off x="3143250" y="1323975"/>
            <a:ext cx="4248150" cy="1419225"/>
            <a:chOff x="3143250" y="1323975"/>
            <a:chExt cx="4248150" cy="1419225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C8EA40B9-DD03-6AA3-8AE3-2B1AE53C85CB}"/>
                </a:ext>
              </a:extLst>
            </xdr:cNvPr>
            <xdr:cNvSpPr/>
          </xdr:nvSpPr>
          <xdr:spPr>
            <a:xfrm>
              <a:off x="3143250" y="1323976"/>
              <a:ext cx="4238625" cy="1419224"/>
            </a:xfrm>
            <a:prstGeom prst="roundRect">
              <a:avLst>
                <a:gd name="adj" fmla="val 794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9" name="Retângulo: Cantos Superiores Arredondados 8">
              <a:extLst>
                <a:ext uri="{FF2B5EF4-FFF2-40B4-BE49-F238E27FC236}">
                  <a16:creationId xmlns:a16="http://schemas.microsoft.com/office/drawing/2014/main" id="{62F54B97-4C7F-76E2-BB28-73754CE55823}"/>
                </a:ext>
              </a:extLst>
            </xdr:cNvPr>
            <xdr:cNvSpPr/>
          </xdr:nvSpPr>
          <xdr:spPr>
            <a:xfrm>
              <a:off x="3143250" y="1323975"/>
              <a:ext cx="4248150" cy="40005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/>
                <a:t>TOTAL SUBSCRIPTIONS EA PLAY SEASON PASS</a:t>
              </a:r>
            </a:p>
          </xdr:txBody>
        </xdr:sp>
      </xdr:grpSp>
      <xdr:sp macro="" textlink="C̳álculos!E22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08286BB9-25F8-4721-8DCF-A5CF63549615}"/>
              </a:ext>
            </a:extLst>
          </xdr:cNvPr>
          <xdr:cNvSpPr/>
        </xdr:nvSpPr>
        <xdr:spPr>
          <a:xfrm>
            <a:off x="4410076" y="1866899"/>
            <a:ext cx="2676524" cy="638175"/>
          </a:xfrm>
          <a:prstGeom prst="roundRect">
            <a:avLst>
              <a:gd name="adj" fmla="val 7942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41D8122-F59F-4E9A-BD35-A00CDB5BA280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R$ 990,00</a:t>
            </a:fld>
            <a:endParaRPr lang="en-US" sz="3600">
              <a:solidFill>
                <a:srgbClr val="22C55E"/>
              </a:solidFill>
            </a:endParaRPr>
          </a:p>
        </xdr:txBody>
      </xdr: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2D0D00E4-4169-475D-AC5F-1D82A32A78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5650" y="1685926"/>
            <a:ext cx="1104900" cy="1104900"/>
          </a:xfrm>
          <a:prstGeom prst="rect">
            <a:avLst/>
          </a:prstGeom>
        </xdr:spPr>
      </xdr:pic>
    </xdr:grpSp>
    <xdr:clientData/>
  </xdr:twoCellAnchor>
  <xdr:twoCellAnchor editAs="absolute">
    <xdr:from>
      <xdr:col>8</xdr:col>
      <xdr:colOff>514350</xdr:colOff>
      <xdr:row>3</xdr:row>
      <xdr:rowOff>142875</xdr:rowOff>
    </xdr:from>
    <xdr:to>
      <xdr:col>16</xdr:col>
      <xdr:colOff>57150</xdr:colOff>
      <xdr:row>11</xdr:row>
      <xdr:rowOff>38100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A4590070-FA95-4DC3-824E-DCEA1632FC0F}"/>
            </a:ext>
          </a:extLst>
        </xdr:cNvPr>
        <xdr:cNvGrpSpPr/>
      </xdr:nvGrpSpPr>
      <xdr:grpSpPr>
        <a:xfrm>
          <a:off x="7600950" y="1323975"/>
          <a:ext cx="4248150" cy="1419225"/>
          <a:chOff x="3143250" y="1323975"/>
          <a:chExt cx="4248150" cy="1419225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99981335-F9DE-177C-F25C-6E631CA13592}"/>
              </a:ext>
            </a:extLst>
          </xdr:cNvPr>
          <xdr:cNvGrpSpPr/>
        </xdr:nvGrpSpPr>
        <xdr:grpSpPr>
          <a:xfrm>
            <a:off x="3143250" y="1323975"/>
            <a:ext cx="4248150" cy="1419225"/>
            <a:chOff x="3143250" y="1323975"/>
            <a:chExt cx="4248150" cy="1419225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3BDEA783-34BC-816D-F061-EBBCFF8D2C31}"/>
                </a:ext>
              </a:extLst>
            </xdr:cNvPr>
            <xdr:cNvSpPr/>
          </xdr:nvSpPr>
          <xdr:spPr>
            <a:xfrm>
              <a:off x="3143250" y="1323976"/>
              <a:ext cx="4238625" cy="1419224"/>
            </a:xfrm>
            <a:prstGeom prst="roundRect">
              <a:avLst>
                <a:gd name="adj" fmla="val 794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9A557A9D-2BAC-6A37-430A-2B1FC5D39728}"/>
                </a:ext>
              </a:extLst>
            </xdr:cNvPr>
            <xdr:cNvSpPr/>
          </xdr:nvSpPr>
          <xdr:spPr>
            <a:xfrm>
              <a:off x="3143250" y="1323975"/>
              <a:ext cx="4248150" cy="40005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/>
                <a:t>TOTAL SUBSCRIPTIONS MINECRAFT SEASON PASS</a:t>
              </a:r>
            </a:p>
          </xdr:txBody>
        </xdr:sp>
      </xdr:grpSp>
      <xdr:sp macro="" textlink="C̳álculos!E32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B29DB688-9F06-3A0B-9B61-AF72E3B71CA5}"/>
              </a:ext>
            </a:extLst>
          </xdr:cNvPr>
          <xdr:cNvSpPr/>
        </xdr:nvSpPr>
        <xdr:spPr>
          <a:xfrm>
            <a:off x="4514851" y="1838325"/>
            <a:ext cx="2800350" cy="762000"/>
          </a:xfrm>
          <a:prstGeom prst="roundRect">
            <a:avLst>
              <a:gd name="adj" fmla="val 7942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12F710C-216C-4B6D-9C5A-03B8BA1A8696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t>R$ 1.140,00</a:t>
            </a:fld>
            <a:endParaRPr lang="en-US" sz="3600">
              <a:solidFill>
                <a:srgbClr val="22C55E"/>
              </a:solidFill>
            </a:endParaRPr>
          </a:p>
        </xdr:txBody>
      </xdr:sp>
    </xdr:grpSp>
    <xdr:clientData/>
  </xdr:twoCellAnchor>
  <xdr:twoCellAnchor editAs="absolute">
    <xdr:from>
      <xdr:col>8</xdr:col>
      <xdr:colOff>600076</xdr:colOff>
      <xdr:row>6</xdr:row>
      <xdr:rowOff>95250</xdr:rowOff>
    </xdr:from>
    <xdr:to>
      <xdr:col>11</xdr:col>
      <xdr:colOff>123826</xdr:colOff>
      <xdr:row>9</xdr:row>
      <xdr:rowOff>180975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3ED5F172-7F3C-4AC1-87C8-D592090412FC}"/>
            </a:ext>
          </a:extLst>
        </xdr:cNvPr>
        <xdr:cNvGrpSpPr/>
      </xdr:nvGrpSpPr>
      <xdr:grpSpPr>
        <a:xfrm>
          <a:off x="7686676" y="1847850"/>
          <a:ext cx="1352550" cy="657225"/>
          <a:chOff x="3495675" y="5400674"/>
          <a:chExt cx="1549476" cy="752476"/>
        </a:xfrm>
      </xdr:grpSpPr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C7FE3970-4CF5-10C7-EB2E-570782A62A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4" name="Gráfico 23">
            <a:extLst>
              <a:ext uri="{FF2B5EF4-FFF2-40B4-BE49-F238E27FC236}">
                <a16:creationId xmlns:a16="http://schemas.microsoft.com/office/drawing/2014/main" id="{190CDDD5-6E54-4EEC-4573-04FE8F386A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228600</xdr:colOff>
      <xdr:row>12</xdr:row>
      <xdr:rowOff>66674</xdr:rowOff>
    </xdr:from>
    <xdr:to>
      <xdr:col>16</xdr:col>
      <xdr:colOff>47625</xdr:colOff>
      <xdr:row>14</xdr:row>
      <xdr:rowOff>171449</xdr:rowOff>
    </xdr:to>
    <xdr:sp macro="" textlink="">
      <xdr:nvSpPr>
        <xdr:cNvPr id="25" name="Retângulo: Cantos Superiores Arredondados 24">
          <a:extLst>
            <a:ext uri="{FF2B5EF4-FFF2-40B4-BE49-F238E27FC236}">
              <a16:creationId xmlns:a16="http://schemas.microsoft.com/office/drawing/2014/main" id="{906108C7-A054-4EB5-A398-E56FEF3E7813}"/>
            </a:ext>
          </a:extLst>
        </xdr:cNvPr>
        <xdr:cNvSpPr/>
      </xdr:nvSpPr>
      <xdr:spPr>
        <a:xfrm>
          <a:off x="3095625" y="2962274"/>
          <a:ext cx="8743950" cy="48577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TOTAL SUBSCRIPTIONS XBOX</a:t>
          </a:r>
          <a:r>
            <a:rPr lang="pt-BR" sz="1400" b="1" baseline="0"/>
            <a:t> GAME</a:t>
          </a:r>
          <a:r>
            <a:rPr lang="pt-BR" sz="1400" b="1"/>
            <a:t> PASS</a:t>
          </a:r>
        </a:p>
      </xdr:txBody>
    </xdr:sp>
    <xdr:clientData/>
  </xdr:twoCellAnchor>
  <xdr:twoCellAnchor>
    <xdr:from>
      <xdr:col>1</xdr:col>
      <xdr:colOff>209549</xdr:colOff>
      <xdr:row>29</xdr:row>
      <xdr:rowOff>85725</xdr:rowOff>
    </xdr:from>
    <xdr:to>
      <xdr:col>9</xdr:col>
      <xdr:colOff>228599</xdr:colOff>
      <xdr:row>31</xdr:row>
      <xdr:rowOff>76200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8147B940-A2E7-ED9A-1D90-B79D3BE3EA37}"/>
            </a:ext>
          </a:extLst>
        </xdr:cNvPr>
        <xdr:cNvSpPr/>
      </xdr:nvSpPr>
      <xdr:spPr>
        <a:xfrm>
          <a:off x="3076574" y="6219825"/>
          <a:ext cx="4848225" cy="371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rgbClr val="22C55E"/>
              </a:solidFill>
            </a:rPr>
            <a:t>período de apuração: 01/01/2024 até 31/12/2024 I Update</a:t>
          </a:r>
          <a:r>
            <a:rPr lang="pt-BR" sz="1100" b="1" baseline="0">
              <a:solidFill>
                <a:srgbClr val="22C55E"/>
              </a:solidFill>
            </a:rPr>
            <a:t> Date: 18/10/2025 </a:t>
          </a:r>
          <a:endParaRPr lang="pt-BR" sz="1100" b="1">
            <a:solidFill>
              <a:srgbClr val="22C55E"/>
            </a:solidFill>
          </a:endParaRPr>
        </a:p>
      </xdr:txBody>
    </xdr:sp>
    <xdr:clientData/>
  </xdr:twoCellAnchor>
  <xdr:twoCellAnchor editAs="oneCell">
    <xdr:from>
      <xdr:col>0</xdr:col>
      <xdr:colOff>514350</xdr:colOff>
      <xdr:row>1</xdr:row>
      <xdr:rowOff>276225</xdr:rowOff>
    </xdr:from>
    <xdr:to>
      <xdr:col>0</xdr:col>
      <xdr:colOff>2260314</xdr:colOff>
      <xdr:row>2</xdr:row>
      <xdr:rowOff>148163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AAF2719C-8A6A-49D5-BAB3-4FA2ADFF8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4350" y="466725"/>
          <a:ext cx="1745964" cy="54821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n" refreshedDate="46313.083634143521" createdVersion="8" refreshedVersion="8" minRefreshableVersion="3" recordCount="295" xr:uid="{A5D9DC72-473A-4563-9EEB-BAB465F76CC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291916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D645C-7645-4793-8CA7-6B2FFB3C2D54}" name="Tabela dinâ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4C825-751E-4FB0-B99A-AD3428956763}" name="Tabela dinâmica3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18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AC464-E509-4BF7-A6F1-B143FF3FB038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BF13AF3-8B65-474F-8388-9B70B3AD4353}" sourceName="Subscription Type">
  <pivotTables>
    <pivotTable tabId="3" name="Tabela dinâmica1"/>
    <pivotTable tabId="3" name="Tabela dinâmica3"/>
    <pivotTable tabId="3" name="Tabela dinâmica2"/>
  </pivotTables>
  <data>
    <tabular pivotCacheId="52919161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37200D1-39E4-4D63-A424-4AA9F3E9E375}" cache="SegmentaçãodeDados_Subscription_Type" caption="Subscription Type" style="Estilo de Segmentação de Dados 4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G23" sqref="G23"/>
    </sheetView>
  </sheetViews>
  <sheetFormatPr defaultRowHeight="15" x14ac:dyDescent="0.25"/>
  <cols>
    <col min="1" max="1" width="17.85546875" customWidth="1"/>
    <col min="2" max="2" width="18.85546875" bestFit="1" customWidth="1"/>
    <col min="3" max="3" width="10" bestFit="1" customWidth="1"/>
    <col min="4" max="4" width="14.5703125" bestFit="1" customWidth="1"/>
    <col min="5" max="5" width="18" bestFit="1" customWidth="1"/>
    <col min="6" max="6" width="17" bestFit="1" customWidth="1"/>
    <col min="7" max="7" width="22" bestFit="1" customWidth="1"/>
    <col min="8" max="9" width="23.85546875" bestFit="1" customWidth="1"/>
    <col min="10" max="10" width="16.7109375" bestFit="1" customWidth="1"/>
    <col min="11" max="11" width="21.28515625" bestFit="1" customWidth="1"/>
    <col min="12" max="12" width="13" bestFit="1" customWidth="1"/>
    <col min="13" max="13" width="15.710937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2"/>
  <sheetViews>
    <sheetView showGridLines="0" workbookViewId="0">
      <selection activeCell="J27" sqref="J27"/>
    </sheetView>
  </sheetViews>
  <sheetFormatPr defaultRowHeight="15" x14ac:dyDescent="0.25"/>
  <cols>
    <col min="2" max="2" width="18.85546875" bestFit="1" customWidth="1"/>
    <col min="3" max="3" width="27.7109375" bestFit="1" customWidth="1"/>
    <col min="4" max="4" width="30.57031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t="s">
        <v>313</v>
      </c>
    </row>
    <row r="4" spans="2:3" x14ac:dyDescent="0.25">
      <c r="B4" t="s">
        <v>317</v>
      </c>
    </row>
    <row r="6" spans="2:3" x14ac:dyDescent="0.25">
      <c r="B6" s="12" t="s">
        <v>16</v>
      </c>
      <c r="C6" t="s">
        <v>27</v>
      </c>
    </row>
    <row r="8" spans="2:3" x14ac:dyDescent="0.25">
      <c r="B8" s="12" t="s">
        <v>314</v>
      </c>
      <c r="C8" t="s">
        <v>316</v>
      </c>
    </row>
    <row r="9" spans="2:3" x14ac:dyDescent="0.25">
      <c r="B9" s="13" t="s">
        <v>23</v>
      </c>
      <c r="C9" s="14">
        <v>806</v>
      </c>
    </row>
    <row r="10" spans="2:3" x14ac:dyDescent="0.25">
      <c r="B10" s="13" t="s">
        <v>19</v>
      </c>
      <c r="C10" s="14">
        <v>1502</v>
      </c>
    </row>
    <row r="11" spans="2:3" x14ac:dyDescent="0.25">
      <c r="B11" s="13" t="s">
        <v>315</v>
      </c>
      <c r="C11" s="14">
        <v>2308</v>
      </c>
    </row>
    <row r="14" spans="2:3" x14ac:dyDescent="0.25">
      <c r="B14" s="13" t="s">
        <v>319</v>
      </c>
    </row>
    <row r="16" spans="2:3" x14ac:dyDescent="0.25">
      <c r="B16" s="12" t="s">
        <v>16</v>
      </c>
      <c r="C16" t="s">
        <v>27</v>
      </c>
    </row>
    <row r="18" spans="2:5" x14ac:dyDescent="0.25">
      <c r="B18" s="12" t="s">
        <v>314</v>
      </c>
      <c r="C18" t="s">
        <v>320</v>
      </c>
    </row>
    <row r="19" spans="2:5" x14ac:dyDescent="0.25">
      <c r="B19" s="13" t="s">
        <v>22</v>
      </c>
      <c r="C19" s="20">
        <v>0</v>
      </c>
    </row>
    <row r="20" spans="2:5" x14ac:dyDescent="0.25">
      <c r="B20" s="13" t="s">
        <v>26</v>
      </c>
      <c r="C20" s="20">
        <v>0</v>
      </c>
    </row>
    <row r="21" spans="2:5" x14ac:dyDescent="0.25">
      <c r="B21" s="13" t="s">
        <v>18</v>
      </c>
      <c r="C21" s="20">
        <v>990</v>
      </c>
    </row>
    <row r="22" spans="2:5" x14ac:dyDescent="0.25">
      <c r="B22" s="13" t="s">
        <v>315</v>
      </c>
      <c r="C22" s="20">
        <v>990</v>
      </c>
      <c r="E22" s="19">
        <f>GETPIVOTDATA("EA Play Season Pass
Price",$B$18,"Plan","Ultimate")</f>
        <v>990</v>
      </c>
    </row>
    <row r="24" spans="2:5" x14ac:dyDescent="0.25">
      <c r="B24" s="13" t="s">
        <v>321</v>
      </c>
    </row>
    <row r="26" spans="2:5" x14ac:dyDescent="0.25">
      <c r="B26" s="12" t="s">
        <v>16</v>
      </c>
      <c r="C26" t="s">
        <v>27</v>
      </c>
    </row>
    <row r="28" spans="2:5" x14ac:dyDescent="0.25">
      <c r="B28" s="12" t="s">
        <v>314</v>
      </c>
      <c r="C28" t="s">
        <v>322</v>
      </c>
    </row>
    <row r="29" spans="2:5" x14ac:dyDescent="0.25">
      <c r="B29" s="13" t="s">
        <v>22</v>
      </c>
      <c r="C29" s="14">
        <v>0</v>
      </c>
    </row>
    <row r="30" spans="2:5" x14ac:dyDescent="0.25">
      <c r="B30" s="13" t="s">
        <v>26</v>
      </c>
      <c r="C30" s="14">
        <v>480</v>
      </c>
    </row>
    <row r="31" spans="2:5" x14ac:dyDescent="0.25">
      <c r="B31" s="13" t="s">
        <v>18</v>
      </c>
      <c r="C31" s="14">
        <v>660</v>
      </c>
    </row>
    <row r="32" spans="2:5" x14ac:dyDescent="0.25">
      <c r="B32" s="13" t="s">
        <v>315</v>
      </c>
      <c r="C32" s="14">
        <v>1140</v>
      </c>
      <c r="E32" s="19">
        <f>GETPIVOTDATA("Minecraft Season Pass Price",$B$28)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3"/>
  <sheetViews>
    <sheetView showGridLines="0" showRowColHeaders="0" tabSelected="1" zoomScaleNormal="100" workbookViewId="0">
      <selection activeCell="T15" sqref="T15"/>
    </sheetView>
  </sheetViews>
  <sheetFormatPr defaultRowHeight="15" x14ac:dyDescent="0.25"/>
  <cols>
    <col min="1" max="1" width="43" style="22" customWidth="1"/>
    <col min="2" max="2" width="8.42578125" style="7" customWidth="1"/>
    <col min="3" max="11" width="9.140625" style="7"/>
    <col min="12" max="12" width="6.5703125" style="7" customWidth="1"/>
    <col min="13" max="16384" width="9.140625" style="7"/>
  </cols>
  <sheetData>
    <row r="1" spans="1:23" s="15" customFormat="1" x14ac:dyDescent="0.25">
      <c r="A1" s="22"/>
    </row>
    <row r="2" spans="1:23" s="15" customFormat="1" ht="53.25" customHeight="1" thickBot="1" x14ac:dyDescent="0.6">
      <c r="A2" s="22"/>
      <c r="C2" s="16" t="s">
        <v>318</v>
      </c>
      <c r="D2" s="17"/>
      <c r="E2" s="17"/>
      <c r="F2" s="17"/>
      <c r="G2" s="17"/>
      <c r="H2" s="17"/>
      <c r="I2" s="17"/>
      <c r="J2" s="17"/>
      <c r="K2" s="18"/>
      <c r="L2" s="18"/>
      <c r="M2" s="18"/>
      <c r="N2" s="18"/>
      <c r="O2" s="18"/>
      <c r="P2" s="18"/>
      <c r="Q2" s="21"/>
      <c r="R2" s="21"/>
      <c r="S2" s="21"/>
      <c r="T2" s="21"/>
      <c r="U2" s="21"/>
      <c r="V2" s="21"/>
      <c r="W2" s="21"/>
    </row>
    <row r="3" spans="1:23" s="15" customFormat="1" ht="24.75" customHeight="1" thickTop="1" x14ac:dyDescent="0.25">
      <c r="A3" s="22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Renan dos Santos Souza</cp:lastModifiedBy>
  <dcterms:created xsi:type="dcterms:W3CDTF">2024-12-19T13:13:10Z</dcterms:created>
  <dcterms:modified xsi:type="dcterms:W3CDTF">2026-10-18T09:39:02Z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